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ASKs\Galugas.web\"/>
    </mc:Choice>
  </mc:AlternateContent>
  <xr:revisionPtr revIDLastSave="0" documentId="13_ncr:1_{7F03ADB7-2584-44DB-8EFE-66548A582171}" xr6:coauthVersionLast="47" xr6:coauthVersionMax="47" xr10:uidLastSave="{00000000-0000-0000-0000-000000000000}"/>
  <bookViews>
    <workbookView xWindow="-120" yWindow="-120" windowWidth="29040" windowHeight="15720" activeTab="1" xr2:uid="{DEE5F98E-E61E-45AC-8BAF-9FF00B68B432}"/>
  </bookViews>
  <sheets>
    <sheet name="Producción" sheetId="1" r:id="rId1"/>
    <sheet name="Local"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3" l="1"/>
  <c r="C40" i="1"/>
  <c r="D33" i="1"/>
  <c r="G5" i="1"/>
  <c r="G6" i="1"/>
  <c r="G7" i="1"/>
  <c r="G8" i="1"/>
  <c r="G9" i="1"/>
  <c r="G10" i="1"/>
  <c r="G11" i="1"/>
  <c r="G12" i="1"/>
  <c r="G13" i="1"/>
  <c r="F5" i="1"/>
  <c r="F6" i="1"/>
  <c r="F7" i="1"/>
  <c r="F8" i="1"/>
  <c r="F9" i="1"/>
  <c r="F10" i="1"/>
  <c r="F11" i="1"/>
  <c r="F12" i="1"/>
  <c r="F13" i="1"/>
  <c r="E5" i="1"/>
  <c r="E6" i="1"/>
  <c r="E7" i="1"/>
  <c r="E8" i="1"/>
  <c r="E9" i="1"/>
  <c r="E10" i="1"/>
  <c r="E11" i="1"/>
  <c r="E12" i="1"/>
  <c r="E13" i="1"/>
  <c r="D6" i="1"/>
  <c r="D7" i="1"/>
  <c r="D8" i="1"/>
  <c r="D9" i="1"/>
  <c r="D10" i="1"/>
  <c r="D11" i="1"/>
  <c r="D12" i="1"/>
  <c r="D13" i="1"/>
  <c r="D5" i="1"/>
  <c r="H5" i="1" s="1"/>
  <c r="G4" i="1"/>
  <c r="F4" i="1"/>
  <c r="E4" i="1"/>
  <c r="D4" i="1"/>
  <c r="C14" i="1"/>
  <c r="H13" i="1" l="1"/>
  <c r="H7" i="1"/>
  <c r="H8" i="1"/>
  <c r="H6" i="1"/>
  <c r="H12" i="1"/>
  <c r="H9" i="1"/>
  <c r="E14" i="1"/>
  <c r="F14" i="1"/>
  <c r="G14" i="1"/>
  <c r="H11" i="1"/>
  <c r="H4" i="1"/>
  <c r="H10" i="1"/>
  <c r="D14" i="1"/>
  <c r="H14" i="1" l="1"/>
  <c r="C42" i="1" s="1"/>
</calcChain>
</file>

<file path=xl/sharedStrings.xml><?xml version="1.0" encoding="utf-8"?>
<sst xmlns="http://schemas.openxmlformats.org/spreadsheetml/2006/main" count="113" uniqueCount="89">
  <si>
    <t>Cargo</t>
  </si>
  <si>
    <t>Salario Base Mensual</t>
  </si>
  <si>
    <t xml:space="preserve">Full Stack Developer </t>
  </si>
  <si>
    <t>CEO / Fundador</t>
  </si>
  <si>
    <t>Coordinador de Procesos (Ingeniero en Sistemas)</t>
  </si>
  <si>
    <t>Community Manager</t>
  </si>
  <si>
    <t>Consultor SEO</t>
  </si>
  <si>
    <t>Analista Web</t>
  </si>
  <si>
    <t>Contador</t>
  </si>
  <si>
    <t>Recursos Humanos (RH)</t>
  </si>
  <si>
    <t>Finanzas</t>
  </si>
  <si>
    <t>Cesantías (8,33%)</t>
  </si>
  <si>
    <t>Prima de servicios (8,33%)</t>
  </si>
  <si>
    <t>Salud (4%)</t>
  </si>
  <si>
    <t>Pensión (4%)</t>
  </si>
  <si>
    <t>Total mensual</t>
  </si>
  <si>
    <t>Item</t>
  </si>
  <si>
    <t>Especificación</t>
  </si>
  <si>
    <t>Suite Oficina</t>
  </si>
  <si>
    <t>Microsoft 365 Empresarial</t>
  </si>
  <si>
    <t>Herramientas BI</t>
  </si>
  <si>
    <t>Tableau/ Power BI Pro</t>
  </si>
  <si>
    <t>Equipo de cómputo</t>
  </si>
  <si>
    <t>Laptop ejecutiva high-end</t>
  </si>
  <si>
    <t>Software BPM</t>
  </si>
  <si>
    <t>Bizagi Modeler / Lucidchart</t>
  </si>
  <si>
    <t>Workstation avanzada</t>
  </si>
  <si>
    <t>Entorno Desarrollo</t>
  </si>
  <si>
    <t>GitHub Pro, Docker</t>
  </si>
  <si>
    <t>Licencias DB</t>
  </si>
  <si>
    <t>Herramientas Monitor</t>
  </si>
  <si>
    <t>Cloud DB, Backup Tools</t>
  </si>
  <si>
    <t>Server/PC administración</t>
  </si>
  <si>
    <t>Gestión Redes</t>
  </si>
  <si>
    <t>Hootsuite Enterprise</t>
  </si>
  <si>
    <t>Diseño</t>
  </si>
  <si>
    <t>Canva Pro + Adobe Creative</t>
  </si>
  <si>
    <t>Herramientas SEO</t>
  </si>
  <si>
    <t>Ahrefs / SEMrush</t>
  </si>
  <si>
    <t>Analítica Web</t>
  </si>
  <si>
    <t>Hotjar, Google Workspace</t>
  </si>
  <si>
    <t>Costo por equipo de trabajo</t>
  </si>
  <si>
    <t>Subtotal</t>
  </si>
  <si>
    <t>Dominio</t>
  </si>
  <si>
    <t>galugas.com (.com.co adicional)</t>
  </si>
  <si>
    <t>Certificado SSL Wildcard</t>
  </si>
  <si>
    <t>Concepto</t>
  </si>
  <si>
    <t>Periodicidad</t>
  </si>
  <si>
    <t>Único</t>
  </si>
  <si>
    <t>Consultoría Legal</t>
  </si>
  <si>
    <t>Anual</t>
  </si>
  <si>
    <t>Licencias Municipales</t>
  </si>
  <si>
    <t xml:space="preserve">Costoas legales </t>
  </si>
  <si>
    <t>Gasto</t>
  </si>
  <si>
    <t>Periodo</t>
  </si>
  <si>
    <t>Mensual</t>
  </si>
  <si>
    <t>Total</t>
  </si>
  <si>
    <t>Costos por infraestructura tecnológica</t>
  </si>
  <si>
    <t>Certificado SSL</t>
  </si>
  <si>
    <t>MySQL / MongoDB Atlas</t>
  </si>
  <si>
    <t>Estructura legal</t>
  </si>
  <si>
    <t>xampp</t>
  </si>
  <si>
    <t>NodeJS</t>
  </si>
  <si>
    <t>JavaScript</t>
  </si>
  <si>
    <t>VSCode</t>
  </si>
  <si>
    <t>GitHub</t>
  </si>
  <si>
    <t>Git</t>
  </si>
  <si>
    <t>HTML5</t>
  </si>
  <si>
    <t>CSS3</t>
  </si>
  <si>
    <t>React (Opcional)</t>
  </si>
  <si>
    <t>Bootstrap(Opcional)</t>
  </si>
  <si>
    <t>Tailwind (Opcional)</t>
  </si>
  <si>
    <t>Costo</t>
  </si>
  <si>
    <t xml:space="preserve">XAMPP es un paquete de software gratuito y de código abierto que sirve como un entorno de desarrollo local para crear y probar aplicaciones web. Incluye el servidor web Apache, la base de datos MariaDB (un reemplazo de MySQL), y los lenguajes de programación PHP y Perl, permitiendo a los desarrolladores trabajar en sus proyectos sin necesidad de una conexión a internet o de un servidor en línea. Su nombre es un acrónimo de los componentes principales: X (multiplataforma para Windows, Linux, macOS), Apache, MariaDB/MySQL, PHP y Perl. </t>
  </si>
  <si>
    <t>EJS (Opcional)</t>
  </si>
  <si>
    <t>MarkDown (Opcional)</t>
  </si>
  <si>
    <t xml:space="preserve">Node.js es un entorno de ejecución de JavaScript de código abierto que permite a los desarrolladores ejecutar JavaScript en el lado del servidor, en lugar de solo en el navegador. Se basa en el motor V8 de Google Chrome, lo que lo hace rápido y eficiente. Es conocido por su modelo de E/S (entrada/salida) no bloqueante y basado en eventos, que lo hace ideal para construir aplicaciones escalables, rápidas y en tiempo real, como chats, servicios de streaming y APIs. </t>
  </si>
  <si>
    <t>JavaScript es un lenguaje de programación que permite crear páginas web interactivas y dinámicas, funcionando junto a HTML y CSS. Se ejecuta directamente en el navegador del usuario (del lado del cliente) y se usa para añadir funcionalidades como animaciones, formularios interactivos, actualización de contenido sin recargar la página y mucho más. </t>
  </si>
  <si>
    <t>HTML5 es la última versión del Lenguaje de Marcado de Hipertexto (HTML) y se utiliza para estructurar y presentar contenido en la web. Es un estándar que define el contenido de una página, como texto, imágenes y videos, y se diferencia de las versiones anteriores por incluir soporte multimedia integrado, nuevas etiquetas semánticas, mejoras en formularios, y la capacidad para dibujar gráficos directamente en el navegador. </t>
  </si>
  <si>
    <t xml:space="preserve">CSS3 es la versión más reciente de las Hojas de Estilo en Cascada, un lenguaje que define la presentación visual de documentos web hechos en HTML. Sus principales mejoras incluyen la modularización (lo que permite nuevas funcionalidades de forma independiente), el diseño responsive para adaptarse a diferentes tamaños de pantalla, y la capacidad de crear animaciones, transiciones y efectos visuales más avanzados sin usar JavaScript. </t>
  </si>
  <si>
    <t xml:space="preserve">VS Code, o Visual Studio Code, es un editor de código fuente gratuito y de código abierto desarrollado por Microsoft, disponible para Windows, macOS y Linux. Es una herramienta potente y ligera que incluye soporte integrado para JavaScript, TypeScript y Node.js, y puede personalizarse extensamente con miles de extensiones para la mayoría de los lenguajes de programación y entornos de desarrollo. </t>
  </si>
  <si>
    <t xml:space="preserve">Git es un sistema de control de versiones distribuido y gratuito de código abierto que registra los cambios en los archivos de un proyecto, permitiendo que los equipos de desarrolladores trabajen de forma colaborativa y eficiente. Al ser distribuido, cada miembro del equipo tiene una copia completa del historial del proyecto localmente, lo que facilita el trabajo sin conexión a internet y la rápida creación de ramificaciones para experimentar de forma segura.  </t>
  </si>
  <si>
    <t xml:space="preserve">GitHub es una plataforma en la nube que usa el sistema de control de versiones Git para alojar y colaborar en proyectos de código. Permite a los desarrolladores almacenar su código en repositorios, seguir y administrar los cambios, y trabajar en conjunto con otros de manera más sencilla. Es muy popular para proyectos de código abierto y ofrece servicios de alojamiento público gratuito, mientras que las opciones privadas y empresariales tienen un costo. </t>
  </si>
  <si>
    <t xml:space="preserve"> es un motor de plantillas para generar HTML dinámico en aplicaciones web, especialmente en el entorno de Node.js. Permite incrustar código JavaScript directamente en archivos HTML para crear contenido que cambia según los datos del servidor, lo que hace que el desarrollo sea más fácil y rápido para quienes ya conocen JavaScript. </t>
  </si>
  <si>
    <t>Markdown es un lenguaje de marcado ligero creado por John Gruber y Aaron Swartz que trata de conseguir la máxima legibilidad y facilidad de publicación tanto en su forma de entrada como de salida, inspirándose en muchas convenciones existentes para marcar mensajes de correo electrónico usando texto llano.</t>
  </si>
  <si>
    <t>React es una biblioteca de JavaScript para construir interfaces de usuario interactivas y escalables, creada por Facebook. Su función principal es simplificar el desarrollo de aplicaciones web de una sola página (SPA) al permitir la creación de componentes reutilizables que se pueden combinar para construir interfaces complejas.</t>
  </si>
  <si>
    <t>Bootstrap es un framework de código abierto y gratuito que combina HTML, CSS y JavaScript para facilitar el desarrollo de sitios web responsivos y rápidos.</t>
  </si>
  <si>
    <t xml:space="preserve">Tailwind es un framework de CSS que funciona bajo el enfoque "utility-first", lo que significa que proporciona clases predefinidas que se aplican directamente en el HTML para construir interfaces de usuario personalizadas. A diferencia de otros frameworks como Bootstrap, Tailwind no ofrece componentes prediseñados, sino que permite crear cualquier diseño combinando sus clases de utilidad para controlar aspectos como el espaciado, el color, el flexbox y el responsive design. Esto lo convierte en una herramienta versátil para estilizar sitios web de manera rápida. </t>
  </si>
  <si>
    <t>Costos por herraminetas ténicas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</si>
</sst>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quot;$&quot;* #,##0.00_-;\-&quot;$&quot;* #,##0.00_-;_-&quot;$&quot;* &quot;-&quot;??_-;_-@_-"/>
    <numFmt numFmtId="167" formatCode="[$COP]\ #,##0.00"/>
    <numFmt numFmtId="168" formatCode="[$$-85D]#,##0.00"/>
  </numFmts>
  <fonts count="8" x14ac:knownFonts="1">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Arial"/>
      <family val="2"/>
    </font>
    <font>
      <b/>
      <sz val="11"/>
      <color theme="0"/>
      <name val="Arial"/>
      <family val="2"/>
    </font>
    <font>
      <b/>
      <sz val="11"/>
      <color theme="1"/>
      <name val="Arial"/>
      <family val="2"/>
    </font>
    <font>
      <b/>
      <sz val="11"/>
      <name val="Arial"/>
      <family val="2"/>
    </font>
    <font>
      <u/>
      <sz val="11"/>
      <color theme="10"/>
      <name val="Aptos Narrow"/>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9" tint="-0.499984740745262"/>
        <bgColor indexed="64"/>
      </patternFill>
    </fill>
    <fill>
      <patternFill patternType="solid">
        <fgColor theme="4"/>
        <bgColor indexed="64"/>
      </patternFill>
    </fill>
    <fill>
      <patternFill patternType="solid">
        <fgColor theme="4" tint="-0.249977111117893"/>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29">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center"/>
    </xf>
    <xf numFmtId="0" fontId="3" fillId="0" borderId="0" xfId="0" applyFont="1" applyAlignment="1">
      <alignment horizontal="center" vertical="center"/>
    </xf>
    <xf numFmtId="43" fontId="3" fillId="0" borderId="0" xfId="0" applyNumberFormat="1" applyFont="1" applyAlignment="1">
      <alignment horizontal="center" vertical="center"/>
    </xf>
    <xf numFmtId="43" fontId="3" fillId="0" borderId="0" xfId="0" applyNumberFormat="1" applyFont="1"/>
    <xf numFmtId="43" fontId="3" fillId="0" borderId="0" xfId="0" applyNumberFormat="1" applyFont="1" applyAlignment="1">
      <alignment vertical="center"/>
    </xf>
    <xf numFmtId="164" fontId="6" fillId="2" borderId="0" xfId="0" applyNumberFormat="1" applyFont="1" applyFill="1" applyAlignment="1">
      <alignment horizontal="center" vertical="center"/>
    </xf>
    <xf numFmtId="0" fontId="3" fillId="0" borderId="0" xfId="1" applyFont="1" applyAlignment="1">
      <alignment wrapText="1"/>
    </xf>
    <xf numFmtId="0" fontId="3" fillId="0" borderId="0" xfId="0" applyFont="1" applyAlignment="1">
      <alignment vertical="center" wrapText="1"/>
    </xf>
    <xf numFmtId="0" fontId="0" fillId="0" borderId="0" xfId="0"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horizontal="center" wrapText="1"/>
    </xf>
    <xf numFmtId="0" fontId="5" fillId="2" borderId="0" xfId="0" applyFont="1" applyFill="1" applyAlignment="1">
      <alignment horizontal="center" wrapText="1"/>
    </xf>
    <xf numFmtId="164" fontId="5" fillId="2" borderId="0" xfId="0" applyNumberFormat="1" applyFont="1" applyFill="1" applyAlignment="1">
      <alignment horizontal="center" vertical="center"/>
    </xf>
    <xf numFmtId="0" fontId="0" fillId="2" borderId="0" xfId="0" applyFill="1" applyAlignment="1">
      <alignment horizontal="center"/>
    </xf>
    <xf numFmtId="0" fontId="5" fillId="2" borderId="0" xfId="0" applyFont="1" applyFill="1" applyAlignment="1">
      <alignment horizontal="center"/>
    </xf>
    <xf numFmtId="164" fontId="5" fillId="2" borderId="0" xfId="0" applyNumberFormat="1" applyFont="1" applyFill="1" applyAlignment="1">
      <alignment horizontal="center"/>
    </xf>
    <xf numFmtId="0" fontId="1" fillId="4" borderId="0" xfId="0" applyFont="1" applyFill="1" applyAlignment="1">
      <alignment horizontal="center"/>
    </xf>
    <xf numFmtId="164" fontId="2" fillId="4" borderId="0" xfId="0" applyNumberFormat="1" applyFont="1" applyFill="1"/>
    <xf numFmtId="0" fontId="4" fillId="3" borderId="0" xfId="0" applyFont="1" applyFill="1" applyAlignment="1">
      <alignment horizontal="center"/>
    </xf>
    <xf numFmtId="0" fontId="0" fillId="0" borderId="0" xfId="0" applyAlignment="1">
      <alignment wrapText="1"/>
    </xf>
    <xf numFmtId="0" fontId="0" fillId="0" borderId="0" xfId="0" applyAlignment="1">
      <alignment horizontal="center"/>
    </xf>
    <xf numFmtId="0" fontId="0" fillId="0" borderId="0" xfId="0" applyAlignment="1">
      <alignment horizontal="left" vertical="center"/>
    </xf>
    <xf numFmtId="168" fontId="0" fillId="0" borderId="0" xfId="0" applyNumberFormat="1" applyAlignment="1">
      <alignment vertical="center"/>
    </xf>
    <xf numFmtId="0" fontId="1" fillId="5" borderId="0" xfId="0" applyFont="1" applyFill="1" applyAlignment="1">
      <alignment horizontal="center" vertical="center"/>
    </xf>
    <xf numFmtId="167" fontId="1" fillId="5" borderId="0" xfId="0" applyNumberFormat="1" applyFont="1" applyFill="1" applyAlignment="1">
      <alignment vertical="center"/>
    </xf>
    <xf numFmtId="0" fontId="1" fillId="3" borderId="0" xfId="0" applyFont="1" applyFill="1" applyAlignment="1">
      <alignment horizontal="center"/>
    </xf>
  </cellXfs>
  <cellStyles count="2">
    <cellStyle name="Hipervínculo" xfId="1" builtinId="8"/>
    <cellStyle name="Normal" xfId="0" builtinId="0"/>
  </cellStyles>
  <dxfs count="21">
    <dxf>
      <alignment horizontal="center" vertical="bottom" textRotation="0" wrapText="0" indent="0" justifyLastLine="0" shrinkToFit="0" readingOrder="0"/>
    </dxf>
    <dxf>
      <numFmt numFmtId="168" formatCode="[$$-85D]#,##0.00"/>
      <alignment horizontal="general" vertical="center" textRotation="0" wrapText="0" indent="0" justifyLastLine="0" shrinkToFit="0" readingOrder="0"/>
    </dxf>
    <dxf>
      <alignment horizontal="general" vertical="bottom" textRotation="0" wrapText="1"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5" formatCode="_-* #,##0.00_-;\-* #,##0.00_-;_-* &quot;-&quot;??_-;_-@_-"/>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5" formatCode="_-* #,##0.00_-;\-* #,##0.00_-;_-* &quot;-&quot;??_-;_-@_-"/>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5"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5"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5"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5"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5"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35"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6E42DD-F388-4A35-AC84-B370C8B1A019}" name="Tabla2" displayName="Tabla2" ref="B3:H14" totalsRowShown="0" headerRowDxfId="20" dataDxfId="19">
  <autoFilter ref="B3:H14" xr:uid="{A76E42DD-F388-4A35-AC84-B370C8B1A019}"/>
  <tableColumns count="7">
    <tableColumn id="1" xr3:uid="{4144AD2A-24B1-44D8-90E6-318F3F200479}" name="Cargo" dataDxfId="18"/>
    <tableColumn id="2" xr3:uid="{8EA6CC0F-D109-4D43-BB31-699B3845DBBE}" name="Salario Base Mensual" dataDxfId="17"/>
    <tableColumn id="3" xr3:uid="{D9DD79E7-F83B-4B4A-8EA7-4E85C2B174DD}" name="Cesantías (8,33%)" dataDxfId="16"/>
    <tableColumn id="4" xr3:uid="{B31DCC9E-724B-4F1C-B928-29E05A827684}" name="Prima de servicios (8,33%)" dataDxfId="15"/>
    <tableColumn id="5" xr3:uid="{26D9266F-ACBB-43B3-A7AB-6A3D6E1268AA}" name="Salud (4%)" dataDxfId="14"/>
    <tableColumn id="6" xr3:uid="{A0C2E8CD-A201-4E79-B61D-C5E2036B2A5F}" name="Pensión (4%)" dataDxfId="13"/>
    <tableColumn id="7" xr3:uid="{DCA49575-E714-4DDE-ADE9-0760B8BFDD79}" name="Total mensual"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D015D98-87A7-4075-8AED-D00163691E3B}" name="Tabla8" displayName="Tabla8" ref="B17:E33" totalsRowShown="0" headerRowDxfId="11">
  <autoFilter ref="B17:E33" xr:uid="{0D015D98-87A7-4075-8AED-D00163691E3B}"/>
  <tableColumns count="4">
    <tableColumn id="1" xr3:uid="{171EE5E3-4369-4336-96FF-A376D4257570}" name="Item" dataDxfId="10"/>
    <tableColumn id="2" xr3:uid="{1BAA3C2C-B1B1-44FF-8F74-22D8A9EDFDDB}" name="Especificación" dataDxfId="9"/>
    <tableColumn id="3" xr3:uid="{736A7614-6ADC-4F02-90D3-69FA07D45207}" name="Gasto" dataDxfId="8"/>
    <tableColumn id="4" xr3:uid="{25257CFC-6CC7-43FC-8DC4-1F58DE3F2DDB}" name="Periodo"/>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A6A400E-4FCE-4B02-AAA3-E268CD6133A6}" name="Tabla9" displayName="Tabla9" ref="B36:D39" totalsRowShown="0" headerRowDxfId="7">
  <autoFilter ref="B36:D39" xr:uid="{BA6A400E-4FCE-4B02-AAA3-E268CD6133A6}"/>
  <tableColumns count="3">
    <tableColumn id="1" xr3:uid="{CE7597AD-0CC7-4A97-8893-84446D707927}" name="Concepto" dataDxfId="6"/>
    <tableColumn id="2" xr3:uid="{9D51137B-EEC9-4FF6-A2C7-5B70DE76ECE2}" name="Gasto" dataDxfId="5"/>
    <tableColumn id="3" xr3:uid="{CA751A92-EAA0-4091-950E-0EB015F99803}" name="Periodicidad"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708A3-59D6-4524-BC0D-31084C42070A}" name="Tabla4" displayName="Tabla4" ref="B3:D16" totalsRowShown="0" headerRowDxfId="0">
  <autoFilter ref="B3:D16" xr:uid="{44D708A3-59D6-4524-BC0D-31084C42070A}"/>
  <tableColumns count="3">
    <tableColumn id="1" xr3:uid="{03DB1D91-02DF-45E0-940C-98743C8ECA59}" name="Item" dataDxfId="3"/>
    <tableColumn id="2" xr3:uid="{860509FF-8749-4B7D-8106-73F522FEBA82}" name="Concepto" dataDxfId="2"/>
    <tableColumn id="3" xr3:uid="{EEC3E9C5-1384-4076-B95C-2F004B3BD06A}" name="Costo" dataDxfId="1"/>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https://galugas.com/" TargetMode="Externa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4ED57-A3B6-4890-86D3-BB15A9E7B014}">
  <dimension ref="B2:H42"/>
  <sheetViews>
    <sheetView topLeftCell="A9" workbookViewId="0">
      <selection activeCell="C42" sqref="C42"/>
    </sheetView>
  </sheetViews>
  <sheetFormatPr baseColWidth="10" defaultRowHeight="15" x14ac:dyDescent="0.25"/>
  <cols>
    <col min="1" max="1" width="3.85546875" customWidth="1"/>
    <col min="2" max="2" width="27.42578125" bestFit="1" customWidth="1"/>
    <col min="3" max="3" width="25.5703125" bestFit="1" customWidth="1"/>
    <col min="4" max="4" width="21.42578125" bestFit="1" customWidth="1"/>
    <col min="5" max="5" width="30.42578125" bestFit="1" customWidth="1"/>
    <col min="6" max="6" width="15.5703125" bestFit="1" customWidth="1"/>
    <col min="7" max="7" width="16.7109375" bestFit="1" customWidth="1"/>
    <col min="8" max="8" width="17.5703125" bestFit="1" customWidth="1"/>
  </cols>
  <sheetData>
    <row r="2" spans="2:8" x14ac:dyDescent="0.25">
      <c r="B2" s="21" t="s">
        <v>41</v>
      </c>
      <c r="C2" s="21"/>
      <c r="D2" s="21"/>
      <c r="E2" s="21"/>
      <c r="F2" s="21"/>
      <c r="G2" s="21"/>
      <c r="H2" s="21"/>
    </row>
    <row r="3" spans="2:8" x14ac:dyDescent="0.25">
      <c r="B3" s="3" t="s">
        <v>0</v>
      </c>
      <c r="C3" s="3" t="s">
        <v>1</v>
      </c>
      <c r="D3" s="3" t="s">
        <v>11</v>
      </c>
      <c r="E3" s="3" t="s">
        <v>12</v>
      </c>
      <c r="F3" s="3" t="s">
        <v>13</v>
      </c>
      <c r="G3" s="3" t="s">
        <v>14</v>
      </c>
      <c r="H3" s="3" t="s">
        <v>15</v>
      </c>
    </row>
    <row r="4" spans="2:8" x14ac:dyDescent="0.25">
      <c r="B4" s="2" t="s">
        <v>2</v>
      </c>
      <c r="C4" s="5">
        <v>4500000</v>
      </c>
      <c r="D4" s="5">
        <f>C4*8.33%</f>
        <v>374850</v>
      </c>
      <c r="E4" s="5">
        <f>C4*8.33%</f>
        <v>374850</v>
      </c>
      <c r="F4" s="5">
        <f>C4*4%</f>
        <v>180000</v>
      </c>
      <c r="G4" s="5">
        <f>C4*4%</f>
        <v>180000</v>
      </c>
      <c r="H4" s="5">
        <f>C4+D4+E4-F4-G4</f>
        <v>4889700</v>
      </c>
    </row>
    <row r="5" spans="2:8" ht="15" customHeight="1" x14ac:dyDescent="0.25">
      <c r="B5" s="2" t="s">
        <v>2</v>
      </c>
      <c r="C5" s="5">
        <v>4200000</v>
      </c>
      <c r="D5" s="5">
        <f>C5*8.33%</f>
        <v>349860</v>
      </c>
      <c r="E5" s="5">
        <f t="shared" ref="E5:E13" si="0">C5*8.33%</f>
        <v>349860</v>
      </c>
      <c r="F5" s="5">
        <f t="shared" ref="F5:F13" si="1">C5*4%</f>
        <v>168000</v>
      </c>
      <c r="G5" s="5">
        <f t="shared" ref="G5:G13" si="2">C5*4%</f>
        <v>168000</v>
      </c>
      <c r="H5" s="5">
        <f t="shared" ref="H5:H13" si="3">C5+D5+E5-F5-G5</f>
        <v>4563720</v>
      </c>
    </row>
    <row r="6" spans="2:8" ht="15" customHeight="1" x14ac:dyDescent="0.25">
      <c r="B6" s="2" t="s">
        <v>3</v>
      </c>
      <c r="C6" s="5">
        <v>12000000</v>
      </c>
      <c r="D6" s="5">
        <f t="shared" ref="D6:D13" si="4">C6*8.33%</f>
        <v>999600</v>
      </c>
      <c r="E6" s="5">
        <f t="shared" si="0"/>
        <v>999600</v>
      </c>
      <c r="F6" s="5">
        <f t="shared" si="1"/>
        <v>480000</v>
      </c>
      <c r="G6" s="5">
        <f t="shared" si="2"/>
        <v>480000</v>
      </c>
      <c r="H6" s="5">
        <f t="shared" si="3"/>
        <v>13039200</v>
      </c>
    </row>
    <row r="7" spans="2:8" ht="29.25" customHeight="1" x14ac:dyDescent="0.25">
      <c r="B7" s="2" t="s">
        <v>4</v>
      </c>
      <c r="C7" s="5">
        <v>8500000</v>
      </c>
      <c r="D7" s="5">
        <f t="shared" si="4"/>
        <v>708050</v>
      </c>
      <c r="E7" s="5">
        <f t="shared" si="0"/>
        <v>708050</v>
      </c>
      <c r="F7" s="5">
        <f t="shared" si="1"/>
        <v>340000</v>
      </c>
      <c r="G7" s="5">
        <f t="shared" si="2"/>
        <v>340000</v>
      </c>
      <c r="H7" s="5">
        <f t="shared" si="3"/>
        <v>9236100</v>
      </c>
    </row>
    <row r="8" spans="2:8" x14ac:dyDescent="0.25">
      <c r="B8" s="2" t="s">
        <v>5</v>
      </c>
      <c r="C8" s="5">
        <v>3000000</v>
      </c>
      <c r="D8" s="5">
        <f t="shared" si="4"/>
        <v>249900</v>
      </c>
      <c r="E8" s="5">
        <f t="shared" si="0"/>
        <v>249900</v>
      </c>
      <c r="F8" s="5">
        <f t="shared" si="1"/>
        <v>120000</v>
      </c>
      <c r="G8" s="5">
        <f t="shared" si="2"/>
        <v>120000</v>
      </c>
      <c r="H8" s="5">
        <f t="shared" si="3"/>
        <v>3259800</v>
      </c>
    </row>
    <row r="9" spans="2:8" x14ac:dyDescent="0.25">
      <c r="B9" s="2" t="s">
        <v>6</v>
      </c>
      <c r="C9" s="5">
        <v>4000000</v>
      </c>
      <c r="D9" s="5">
        <f t="shared" si="4"/>
        <v>333200</v>
      </c>
      <c r="E9" s="5">
        <f t="shared" si="0"/>
        <v>333200</v>
      </c>
      <c r="F9" s="5">
        <f t="shared" si="1"/>
        <v>160000</v>
      </c>
      <c r="G9" s="5">
        <f t="shared" si="2"/>
        <v>160000</v>
      </c>
      <c r="H9" s="5">
        <f t="shared" si="3"/>
        <v>4346400</v>
      </c>
    </row>
    <row r="10" spans="2:8" x14ac:dyDescent="0.25">
      <c r="B10" s="2" t="s">
        <v>7</v>
      </c>
      <c r="C10" s="5">
        <v>4500000</v>
      </c>
      <c r="D10" s="5">
        <f t="shared" si="4"/>
        <v>374850</v>
      </c>
      <c r="E10" s="5">
        <f t="shared" si="0"/>
        <v>374850</v>
      </c>
      <c r="F10" s="5">
        <f t="shared" si="1"/>
        <v>180000</v>
      </c>
      <c r="G10" s="5">
        <f t="shared" si="2"/>
        <v>180000</v>
      </c>
      <c r="H10" s="5">
        <f t="shared" si="3"/>
        <v>4889700</v>
      </c>
    </row>
    <row r="11" spans="2:8" x14ac:dyDescent="0.25">
      <c r="B11" s="2" t="s">
        <v>8</v>
      </c>
      <c r="C11" s="5">
        <v>3500000</v>
      </c>
      <c r="D11" s="5">
        <f t="shared" si="4"/>
        <v>291550</v>
      </c>
      <c r="E11" s="5">
        <f t="shared" si="0"/>
        <v>291550</v>
      </c>
      <c r="F11" s="5">
        <f t="shared" si="1"/>
        <v>140000</v>
      </c>
      <c r="G11" s="5">
        <f t="shared" si="2"/>
        <v>140000</v>
      </c>
      <c r="H11" s="5">
        <f t="shared" si="3"/>
        <v>3803100</v>
      </c>
    </row>
    <row r="12" spans="2:8" x14ac:dyDescent="0.25">
      <c r="B12" s="2" t="s">
        <v>9</v>
      </c>
      <c r="C12" s="5">
        <v>3000000</v>
      </c>
      <c r="D12" s="5">
        <f t="shared" si="4"/>
        <v>249900</v>
      </c>
      <c r="E12" s="5">
        <f t="shared" si="0"/>
        <v>249900</v>
      </c>
      <c r="F12" s="5">
        <f t="shared" si="1"/>
        <v>120000</v>
      </c>
      <c r="G12" s="5">
        <f t="shared" si="2"/>
        <v>120000</v>
      </c>
      <c r="H12" s="5">
        <f t="shared" si="3"/>
        <v>3259800</v>
      </c>
    </row>
    <row r="13" spans="2:8" x14ac:dyDescent="0.25">
      <c r="B13" s="2" t="s">
        <v>10</v>
      </c>
      <c r="C13" s="5">
        <v>4000000</v>
      </c>
      <c r="D13" s="5">
        <f t="shared" si="4"/>
        <v>333200</v>
      </c>
      <c r="E13" s="5">
        <f t="shared" si="0"/>
        <v>333200</v>
      </c>
      <c r="F13" s="5">
        <f t="shared" si="1"/>
        <v>160000</v>
      </c>
      <c r="G13" s="5">
        <f t="shared" si="2"/>
        <v>160000</v>
      </c>
      <c r="H13" s="5">
        <f t="shared" si="3"/>
        <v>4346400</v>
      </c>
    </row>
    <row r="14" spans="2:8" x14ac:dyDescent="0.25">
      <c r="B14" s="13" t="s">
        <v>42</v>
      </c>
      <c r="C14" s="8">
        <f t="shared" ref="C14:H14" si="5">SUM(C4:C13)</f>
        <v>51200000</v>
      </c>
      <c r="D14" s="8">
        <f t="shared" si="5"/>
        <v>4264960</v>
      </c>
      <c r="E14" s="8">
        <f t="shared" si="5"/>
        <v>4264960</v>
      </c>
      <c r="F14" s="8">
        <f t="shared" si="5"/>
        <v>2048000</v>
      </c>
      <c r="G14" s="8">
        <f t="shared" si="5"/>
        <v>2048000</v>
      </c>
      <c r="H14" s="8">
        <f t="shared" si="5"/>
        <v>55633920</v>
      </c>
    </row>
    <row r="16" spans="2:8" x14ac:dyDescent="0.25">
      <c r="B16" s="21" t="s">
        <v>57</v>
      </c>
      <c r="C16" s="21"/>
      <c r="D16" s="21"/>
      <c r="E16" s="21"/>
    </row>
    <row r="17" spans="2:5" x14ac:dyDescent="0.25">
      <c r="B17" s="3" t="s">
        <v>16</v>
      </c>
      <c r="C17" s="3" t="s">
        <v>17</v>
      </c>
      <c r="D17" s="3" t="s">
        <v>53</v>
      </c>
      <c r="E17" s="3" t="s">
        <v>54</v>
      </c>
    </row>
    <row r="18" spans="2:5" x14ac:dyDescent="0.25">
      <c r="B18" s="10" t="s">
        <v>18</v>
      </c>
      <c r="C18" s="2" t="s">
        <v>19</v>
      </c>
      <c r="D18" s="7">
        <v>100000</v>
      </c>
      <c r="E18" s="11" t="s">
        <v>55</v>
      </c>
    </row>
    <row r="19" spans="2:5" x14ac:dyDescent="0.25">
      <c r="B19" s="10" t="s">
        <v>20</v>
      </c>
      <c r="C19" s="2" t="s">
        <v>21</v>
      </c>
      <c r="D19" s="7">
        <v>150000</v>
      </c>
      <c r="E19" s="11" t="s">
        <v>55</v>
      </c>
    </row>
    <row r="20" spans="2:5" x14ac:dyDescent="0.25">
      <c r="B20" s="10" t="s">
        <v>22</v>
      </c>
      <c r="C20" s="2" t="s">
        <v>23</v>
      </c>
      <c r="D20" s="7">
        <v>400000</v>
      </c>
      <c r="E20" s="11" t="s">
        <v>48</v>
      </c>
    </row>
    <row r="21" spans="2:5" ht="29.25" x14ac:dyDescent="0.25">
      <c r="B21" s="10" t="s">
        <v>24</v>
      </c>
      <c r="C21" s="2" t="s">
        <v>25</v>
      </c>
      <c r="D21" s="7">
        <v>450000</v>
      </c>
      <c r="E21" s="11" t="s">
        <v>55</v>
      </c>
    </row>
    <row r="22" spans="2:5" x14ac:dyDescent="0.25">
      <c r="B22" s="10" t="s">
        <v>22</v>
      </c>
      <c r="C22" s="2" t="s">
        <v>26</v>
      </c>
      <c r="D22" s="7">
        <v>500000</v>
      </c>
      <c r="E22" s="11" t="s">
        <v>55</v>
      </c>
    </row>
    <row r="23" spans="2:5" x14ac:dyDescent="0.25">
      <c r="B23" s="10" t="s">
        <v>27</v>
      </c>
      <c r="C23" s="2" t="s">
        <v>28</v>
      </c>
      <c r="D23" s="7">
        <v>90000</v>
      </c>
      <c r="E23" s="11" t="s">
        <v>55</v>
      </c>
    </row>
    <row r="24" spans="2:5" x14ac:dyDescent="0.25">
      <c r="B24" s="10" t="s">
        <v>29</v>
      </c>
      <c r="C24" s="2" t="s">
        <v>59</v>
      </c>
      <c r="D24" s="7">
        <v>350000</v>
      </c>
      <c r="E24" s="11" t="s">
        <v>55</v>
      </c>
    </row>
    <row r="25" spans="2:5" x14ac:dyDescent="0.25">
      <c r="B25" s="10" t="s">
        <v>30</v>
      </c>
      <c r="C25" s="2" t="s">
        <v>31</v>
      </c>
      <c r="D25" s="7">
        <v>300000</v>
      </c>
      <c r="E25" s="11" t="s">
        <v>55</v>
      </c>
    </row>
    <row r="26" spans="2:5" x14ac:dyDescent="0.25">
      <c r="B26" s="10" t="s">
        <v>22</v>
      </c>
      <c r="C26" s="2" t="s">
        <v>32</v>
      </c>
      <c r="D26" s="7">
        <v>550000</v>
      </c>
      <c r="E26" s="11" t="s">
        <v>48</v>
      </c>
    </row>
    <row r="27" spans="2:5" x14ac:dyDescent="0.25">
      <c r="B27" s="10" t="s">
        <v>33</v>
      </c>
      <c r="C27" s="2" t="s">
        <v>34</v>
      </c>
      <c r="D27" s="7">
        <v>200000</v>
      </c>
      <c r="E27" s="11" t="s">
        <v>55</v>
      </c>
    </row>
    <row r="28" spans="2:5" ht="29.25" x14ac:dyDescent="0.25">
      <c r="B28" s="10" t="s">
        <v>35</v>
      </c>
      <c r="C28" s="2" t="s">
        <v>36</v>
      </c>
      <c r="D28" s="7">
        <v>230000</v>
      </c>
      <c r="E28" s="11" t="s">
        <v>55</v>
      </c>
    </row>
    <row r="29" spans="2:5" x14ac:dyDescent="0.25">
      <c r="B29" s="10" t="s">
        <v>37</v>
      </c>
      <c r="C29" s="2" t="s">
        <v>38</v>
      </c>
      <c r="D29" s="7">
        <v>400000</v>
      </c>
      <c r="E29" s="11" t="s">
        <v>55</v>
      </c>
    </row>
    <row r="30" spans="2:5" ht="29.25" x14ac:dyDescent="0.25">
      <c r="B30" s="10" t="s">
        <v>39</v>
      </c>
      <c r="C30" s="2" t="s">
        <v>40</v>
      </c>
      <c r="D30" s="7">
        <v>200000</v>
      </c>
      <c r="E30" s="11" t="s">
        <v>55</v>
      </c>
    </row>
    <row r="31" spans="2:5" ht="29.25" x14ac:dyDescent="0.25">
      <c r="B31" s="10" t="s">
        <v>43</v>
      </c>
      <c r="C31" s="9" t="s">
        <v>44</v>
      </c>
      <c r="D31" s="7">
        <v>50000</v>
      </c>
      <c r="E31" s="11" t="s">
        <v>48</v>
      </c>
    </row>
    <row r="32" spans="2:5" x14ac:dyDescent="0.25">
      <c r="B32" s="10" t="s">
        <v>58</v>
      </c>
      <c r="C32" s="2" t="s">
        <v>45</v>
      </c>
      <c r="D32" s="7">
        <v>30000</v>
      </c>
      <c r="E32" s="11" t="s">
        <v>48</v>
      </c>
    </row>
    <row r="33" spans="2:5" x14ac:dyDescent="0.25">
      <c r="B33" s="14" t="s">
        <v>42</v>
      </c>
      <c r="C33" s="14"/>
      <c r="D33" s="15">
        <f>SUM(D18:D32)</f>
        <v>4000000</v>
      </c>
      <c r="E33" s="16"/>
    </row>
    <row r="35" spans="2:5" x14ac:dyDescent="0.25">
      <c r="B35" s="21" t="s">
        <v>52</v>
      </c>
      <c r="C35" s="21"/>
      <c r="D35" s="21"/>
    </row>
    <row r="36" spans="2:5" x14ac:dyDescent="0.25">
      <c r="B36" s="3" t="s">
        <v>46</v>
      </c>
      <c r="C36" s="3" t="s">
        <v>53</v>
      </c>
      <c r="D36" s="3" t="s">
        <v>47</v>
      </c>
    </row>
    <row r="37" spans="2:5" x14ac:dyDescent="0.25">
      <c r="B37" s="1" t="s">
        <v>60</v>
      </c>
      <c r="C37" s="6">
        <v>1200000</v>
      </c>
      <c r="D37" s="4" t="s">
        <v>48</v>
      </c>
    </row>
    <row r="38" spans="2:5" x14ac:dyDescent="0.25">
      <c r="B38" s="1" t="s">
        <v>49</v>
      </c>
      <c r="C38" s="6">
        <v>500000</v>
      </c>
      <c r="D38" s="4" t="s">
        <v>50</v>
      </c>
    </row>
    <row r="39" spans="2:5" x14ac:dyDescent="0.25">
      <c r="B39" s="1" t="s">
        <v>51</v>
      </c>
      <c r="C39" s="6">
        <v>300000</v>
      </c>
      <c r="D39" s="4" t="s">
        <v>50</v>
      </c>
    </row>
    <row r="40" spans="2:5" x14ac:dyDescent="0.25">
      <c r="B40" s="17" t="s">
        <v>42</v>
      </c>
      <c r="C40" s="18">
        <f>SUM(C37:C39)</f>
        <v>2000000</v>
      </c>
      <c r="D40" s="12"/>
    </row>
    <row r="42" spans="2:5" x14ac:dyDescent="0.25">
      <c r="B42" s="19" t="s">
        <v>56</v>
      </c>
      <c r="C42" s="20">
        <f>C40+D33+H14</f>
        <v>61633920</v>
      </c>
    </row>
  </sheetData>
  <mergeCells count="3">
    <mergeCell ref="B2:H2"/>
    <mergeCell ref="B35:D35"/>
    <mergeCell ref="B16:E16"/>
  </mergeCells>
  <hyperlinks>
    <hyperlink ref="C31" r:id="rId1" display="https://galugas.com/" xr:uid="{4AFF8315-9116-4046-8973-30FCBD55CC32}"/>
  </hyperlinks>
  <pageMargins left="0.7" right="0.7" top="0.75" bottom="0.75" header="0.3" footer="0.3"/>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937F9-F862-4AB3-8FE8-90F8DD50C778}">
  <dimension ref="B2:D17"/>
  <sheetViews>
    <sheetView tabSelected="1" workbookViewId="0">
      <selection activeCell="D17" sqref="D17"/>
    </sheetView>
  </sheetViews>
  <sheetFormatPr baseColWidth="10" defaultRowHeight="15" x14ac:dyDescent="0.25"/>
  <cols>
    <col min="2" max="2" width="20.42578125" bestFit="1" customWidth="1"/>
    <col min="3" max="3" width="71.85546875" customWidth="1"/>
    <col min="4" max="4" width="11" bestFit="1" customWidth="1"/>
  </cols>
  <sheetData>
    <row r="2" spans="2:4" x14ac:dyDescent="0.25">
      <c r="B2" s="28" t="s">
        <v>88</v>
      </c>
      <c r="C2" s="28"/>
      <c r="D2" s="28"/>
    </row>
    <row r="3" spans="2:4" x14ac:dyDescent="0.25">
      <c r="B3" s="23" t="s">
        <v>16</v>
      </c>
      <c r="C3" s="23" t="s">
        <v>46</v>
      </c>
      <c r="D3" s="23" t="s">
        <v>72</v>
      </c>
    </row>
    <row r="4" spans="2:4" ht="120" x14ac:dyDescent="0.25">
      <c r="B4" s="24" t="s">
        <v>61</v>
      </c>
      <c r="C4" s="22" t="s">
        <v>73</v>
      </c>
      <c r="D4" s="25">
        <v>0</v>
      </c>
    </row>
    <row r="5" spans="2:4" ht="105" x14ac:dyDescent="0.25">
      <c r="B5" s="24" t="s">
        <v>62</v>
      </c>
      <c r="C5" s="22" t="s">
        <v>76</v>
      </c>
      <c r="D5" s="25">
        <v>0</v>
      </c>
    </row>
    <row r="6" spans="2:4" ht="75" x14ac:dyDescent="0.25">
      <c r="B6" s="24" t="s">
        <v>63</v>
      </c>
      <c r="C6" s="22" t="s">
        <v>77</v>
      </c>
      <c r="D6" s="25">
        <v>0</v>
      </c>
    </row>
    <row r="7" spans="2:4" ht="90" x14ac:dyDescent="0.25">
      <c r="B7" s="24" t="s">
        <v>67</v>
      </c>
      <c r="C7" s="22" t="s">
        <v>78</v>
      </c>
      <c r="D7" s="25">
        <v>0</v>
      </c>
    </row>
    <row r="8" spans="2:4" ht="90" x14ac:dyDescent="0.25">
      <c r="B8" s="24" t="s">
        <v>68</v>
      </c>
      <c r="C8" s="22" t="s">
        <v>79</v>
      </c>
      <c r="D8" s="25">
        <v>0</v>
      </c>
    </row>
    <row r="9" spans="2:4" ht="90" x14ac:dyDescent="0.25">
      <c r="B9" s="24" t="s">
        <v>64</v>
      </c>
      <c r="C9" s="22" t="s">
        <v>80</v>
      </c>
      <c r="D9" s="25">
        <v>0</v>
      </c>
    </row>
    <row r="10" spans="2:4" ht="105" x14ac:dyDescent="0.25">
      <c r="B10" s="24" t="s">
        <v>66</v>
      </c>
      <c r="C10" s="22" t="s">
        <v>81</v>
      </c>
      <c r="D10" s="25">
        <v>0</v>
      </c>
    </row>
    <row r="11" spans="2:4" ht="105" x14ac:dyDescent="0.25">
      <c r="B11" s="24" t="s">
        <v>65</v>
      </c>
      <c r="C11" s="22" t="s">
        <v>82</v>
      </c>
      <c r="D11" s="25">
        <v>0</v>
      </c>
    </row>
    <row r="12" spans="2:4" ht="75" x14ac:dyDescent="0.25">
      <c r="B12" s="24" t="s">
        <v>74</v>
      </c>
      <c r="C12" s="22" t="s">
        <v>83</v>
      </c>
      <c r="D12" s="25">
        <v>0</v>
      </c>
    </row>
    <row r="13" spans="2:4" ht="75" x14ac:dyDescent="0.25">
      <c r="B13" s="24" t="s">
        <v>75</v>
      </c>
      <c r="C13" s="22" t="s">
        <v>84</v>
      </c>
      <c r="D13" s="25">
        <v>0</v>
      </c>
    </row>
    <row r="14" spans="2:4" ht="75" x14ac:dyDescent="0.25">
      <c r="B14" s="24" t="s">
        <v>69</v>
      </c>
      <c r="C14" s="22" t="s">
        <v>85</v>
      </c>
      <c r="D14" s="25">
        <v>0</v>
      </c>
    </row>
    <row r="15" spans="2:4" ht="30" x14ac:dyDescent="0.25">
      <c r="B15" s="24" t="s">
        <v>70</v>
      </c>
      <c r="C15" s="22" t="s">
        <v>86</v>
      </c>
      <c r="D15" s="25">
        <v>0</v>
      </c>
    </row>
    <row r="16" spans="2:4" ht="120" x14ac:dyDescent="0.25">
      <c r="B16" s="24" t="s">
        <v>71</v>
      </c>
      <c r="C16" s="22" t="s">
        <v>87</v>
      </c>
      <c r="D16" s="25">
        <v>0</v>
      </c>
    </row>
    <row r="17" spans="2:4" x14ac:dyDescent="0.25">
      <c r="B17" s="26" t="s">
        <v>56</v>
      </c>
      <c r="C17" s="26"/>
      <c r="D17" s="27">
        <f>SUM(D4:D16)</f>
        <v>0</v>
      </c>
    </row>
  </sheetData>
  <mergeCells count="2">
    <mergeCell ref="B17:C17"/>
    <mergeCell ref="B2:D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Producción</vt:lpstr>
      <vt:lpstr>Local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Jader D. Araujo A.</dc:creator>
  <cp:lastModifiedBy>JADER DAVID ARAUJO ARBOLEDA</cp:lastModifiedBy>
  <dcterms:created xsi:type="dcterms:W3CDTF">2025-10-22T23:48:06Z</dcterms:created>
  <dcterms:modified xsi:type="dcterms:W3CDTF">2025-11-08T14:18:48Z</dcterms:modified>
</cp:coreProperties>
</file>